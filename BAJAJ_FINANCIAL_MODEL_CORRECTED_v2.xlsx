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 Scenarios" sheetId="2" state="visible" r:id="rId2"/>
    <sheet name="Scaling 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6B35"/>
      <sz val="14"/>
    </font>
    <font>
      <i val="1"/>
      <sz val="10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A366"/>
        <bgColor rgb="00FFA366"/>
      </patternFill>
    </fill>
    <fill>
      <patternFill patternType="solid">
        <fgColor rgb="00FFE5D9"/>
        <bgColor rgb="00FFE5D9"/>
      </patternFill>
    </fill>
    <fill>
      <patternFill patternType="solid">
        <fgColor rgb="00D4EDDA"/>
        <bgColor rgb="00D4EDDA"/>
      </patternFill>
    </fill>
    <fill>
      <patternFill patternType="solid">
        <fgColor rgb="00FF6B35"/>
        <bgColor rgb="00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3" fontId="0" fillId="3" borderId="0" pivotButton="0" quotePrefix="0" xfId="0"/>
    <xf numFmtId="3" fontId="0" fillId="4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BAJAJ ELEKTRIK JAKARTA - MODEL FINANSIAL</t>
        </is>
      </c>
    </row>
    <row r="2">
      <c r="A2" s="2" t="inlineStr">
        <is>
          <t>3-Wheel Electric Vehicle | Rp 17 ribu | 15 trips/day</t>
        </is>
      </c>
    </row>
    <row r="4">
      <c r="A4" s="3">
        <f>== ASUMSI KUNCI ===</f>
        <v/>
      </c>
    </row>
    <row r="5">
      <c r="A5" t="inlineStr">
        <is>
          <t>Average Fare (Rp)</t>
        </is>
      </c>
      <c r="B5" s="4" t="n">
        <v>17000</v>
      </c>
    </row>
    <row r="6">
      <c r="A6" t="inlineStr">
        <is>
          <t>Trips per Day</t>
        </is>
      </c>
      <c r="B6" s="4" t="n">
        <v>15</v>
      </c>
    </row>
    <row r="7">
      <c r="A7" t="inlineStr">
        <is>
          <t>Working Days/Month</t>
        </is>
      </c>
      <c r="B7" s="4" t="n">
        <v>23</v>
      </c>
    </row>
    <row r="8">
      <c r="A8" t="inlineStr">
        <is>
          <t>Total Trips/Month</t>
        </is>
      </c>
      <c r="B8" s="4" t="n">
        <v>345</v>
      </c>
    </row>
    <row r="10">
      <c r="A10" t="inlineStr">
        <is>
          <t>Wrapping Revenue/Month (Rp)</t>
        </is>
      </c>
      <c r="B10" s="4" t="n">
        <v>1500000</v>
      </c>
    </row>
    <row r="11">
      <c r="A11" t="inlineStr">
        <is>
          <t>Product Conversion %</t>
        </is>
      </c>
      <c r="B11" s="5" t="n">
        <v>0.2</v>
      </c>
    </row>
    <row r="13">
      <c r="A13" s="3">
        <f>== PENDAPATAN PLATFORM (Per Bajaj/Bulan) ===</f>
        <v/>
      </c>
    </row>
    <row r="15">
      <c r="A15" t="inlineStr">
        <is>
          <t>Transport Gross (345 × Rp 17.000)</t>
        </is>
      </c>
      <c r="B15" s="4" t="n">
        <v>5865000</v>
      </c>
    </row>
    <row r="16">
      <c r="A16" t="inlineStr">
        <is>
          <t>Platform Fee (10%)</t>
        </is>
      </c>
      <c r="B16" s="4" t="n">
        <v>586500</v>
      </c>
    </row>
    <row r="17">
      <c r="A17" t="inlineStr">
        <is>
          <t>Wrapping (90%)</t>
        </is>
      </c>
      <c r="B17" s="4" t="n">
        <v>1350000</v>
      </c>
    </row>
    <row r="18">
      <c r="A18" t="inlineStr">
        <is>
          <t>Product Sales (69 sales × Rp 250)</t>
        </is>
      </c>
      <c r="B18" s="4" t="n">
        <v>17250</v>
      </c>
    </row>
    <row r="19">
      <c r="A19" t="inlineStr">
        <is>
          <t>Ad Revenue (30% product)</t>
        </is>
      </c>
      <c r="B19" s="4" t="n">
        <v>5175</v>
      </c>
    </row>
    <row r="20">
      <c r="A20" s="6" t="inlineStr">
        <is>
          <t>TOTAL REVENUE</t>
        </is>
      </c>
      <c r="B20" s="7" t="n">
        <v>1958925</v>
      </c>
    </row>
    <row r="22">
      <c r="A22" t="inlineStr">
        <is>
          <t>Platform Costs</t>
        </is>
      </c>
      <c r="B22" s="4" t="n">
        <v>430000</v>
      </c>
    </row>
    <row r="24">
      <c r="A24" s="6" t="inlineStr">
        <is>
          <t>NET PROFIT/BAJAJ/MONTH</t>
        </is>
      </c>
      <c r="B24" s="8" t="n">
        <v>1528925</v>
      </c>
    </row>
    <row r="25">
      <c r="A25" t="inlineStr">
        <is>
          <t>Profit Margin %</t>
        </is>
      </c>
      <c r="B25" s="5" t="n">
        <v>0.78</v>
      </c>
    </row>
    <row r="27">
      <c r="A27" s="3">
        <f>== EKONOMI DRIVER (Per Bulan) ===</f>
        <v/>
      </c>
    </row>
    <row r="29">
      <c r="A29" t="inlineStr">
        <is>
          <t>Transport Net (90%)</t>
        </is>
      </c>
      <c r="B29" s="4" t="n">
        <v>5278500</v>
      </c>
    </row>
    <row r="30">
      <c r="A30" t="inlineStr">
        <is>
          <t>Wrapping (10%)</t>
        </is>
      </c>
      <c r="B30" s="4" t="n">
        <v>150000</v>
      </c>
    </row>
    <row r="31">
      <c r="A31" t="inlineStr">
        <is>
          <t>Product Commission (69 × Rp 1000)</t>
        </is>
      </c>
      <c r="B31" s="4" t="n">
        <v>69000</v>
      </c>
    </row>
    <row r="32">
      <c r="A32" t="inlineStr">
        <is>
          <t>Tips (207 trips × Rp 2500)</t>
        </is>
      </c>
      <c r="B32" s="4" t="n">
        <v>517500</v>
      </c>
    </row>
    <row r="33">
      <c r="A33" s="6" t="inlineStr">
        <is>
          <t>GROSS INCOME</t>
        </is>
      </c>
      <c r="B33" s="7" t="n">
        <v>6015000</v>
      </c>
    </row>
    <row r="35">
      <c r="A35" t="inlineStr">
        <is>
          <t>Installment (Rp 40k/day × 23)</t>
        </is>
      </c>
      <c r="B35" s="4" t="n">
        <v>920000</v>
      </c>
    </row>
    <row r="36">
      <c r="A36" t="inlineStr">
        <is>
          <t>Maintenance (Rp 10k/day × 23)</t>
        </is>
      </c>
      <c r="B36" s="4" t="n">
        <v>230000</v>
      </c>
    </row>
    <row r="37">
      <c r="A37" t="inlineStr">
        <is>
          <t>Electricity (20 kWh × Rp 1500 × 23)</t>
        </is>
      </c>
      <c r="B37" s="4" t="n">
        <v>690000</v>
      </c>
    </row>
    <row r="38">
      <c r="A38" t="inlineStr">
        <is>
          <t>Parking (Rp 5k/day × 23)</t>
        </is>
      </c>
      <c r="B38" s="4" t="n">
        <v>115000</v>
      </c>
    </row>
    <row r="39">
      <c r="A39" s="6" t="inlineStr">
        <is>
          <t>TOTAL EXPENSES</t>
        </is>
      </c>
      <c r="B39" s="7" t="n">
        <v>1955000</v>
      </c>
    </row>
    <row r="41">
      <c r="A41" s="6" t="inlineStr">
        <is>
          <t>DRIVER NET INCOME</t>
        </is>
      </c>
      <c r="B41" s="8" t="n">
        <v>4060000</v>
      </c>
    </row>
    <row r="42">
      <c r="A42" t="inlineStr">
        <is>
          <t>Daily Net (÷ 23)</t>
        </is>
      </c>
      <c r="B42" s="4" t="n">
        <v>176522</v>
      </c>
    </row>
    <row r="43">
      <c r="A43" t="inlineStr">
        <is>
          <t>vs Gojek (Rp 110 ribu)</t>
        </is>
      </c>
      <c r="B43" s="5" t="n">
        <v>0.605</v>
      </c>
    </row>
    <row r="45">
      <c r="A45" s="3">
        <f>== TAHUN 1 (100 BAJAJ) ===</f>
        <v/>
      </c>
    </row>
    <row r="47">
      <c r="A47" t="inlineStr">
        <is>
          <t>Annual Revenue (Rp milyar)</t>
        </is>
      </c>
      <c r="B47" s="9" t="n">
        <v>2.35</v>
      </c>
    </row>
    <row r="48">
      <c r="A48" t="inlineStr">
        <is>
          <t>Annual Profit (Rp milyar)</t>
        </is>
      </c>
      <c r="B48" s="9" t="n">
        <v>1.83</v>
      </c>
    </row>
    <row r="49">
      <c r="A49" t="inlineStr">
        <is>
          <t>ROI % (Year 1)</t>
        </is>
      </c>
      <c r="B49" s="5" t="n">
        <v>0.183</v>
      </c>
    </row>
    <row r="50">
      <c r="A50" t="inlineStr">
        <is>
          <t>Payback (months)</t>
        </is>
      </c>
      <c r="B50" s="10" t="n">
        <v>65.40000000000001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PERBANDINGAN 3 SKENARIO</t>
        </is>
      </c>
    </row>
    <row r="3">
      <c r="A3" s="11" t="inlineStr">
        <is>
          <t>Metrik</t>
        </is>
      </c>
      <c r="B3" s="11" t="inlineStr">
        <is>
          <t>Conservative</t>
        </is>
      </c>
      <c r="C3" s="11" t="inlineStr">
        <is>
          <t>Realistic ✅</t>
        </is>
      </c>
      <c r="D3" s="11" t="inlineStr">
        <is>
          <t>Optimistic</t>
        </is>
      </c>
    </row>
    <row r="4">
      <c r="A4" t="inlineStr"/>
      <c r="B4" t="inlineStr"/>
      <c r="C4" t="inlineStr"/>
      <c r="D4" t="inlineStr"/>
    </row>
    <row r="5">
      <c r="A5" s="3">
        <f>== ASUMSI ===</f>
        <v/>
      </c>
      <c r="B5" t="inlineStr"/>
      <c r="C5" t="inlineStr"/>
      <c r="D5" t="inlineStr"/>
    </row>
    <row r="6">
      <c r="A6" t="inlineStr">
        <is>
          <t>Average Fare (Rp)</t>
        </is>
      </c>
      <c r="B6" t="n">
        <v>21000</v>
      </c>
      <c r="C6" t="n">
        <v>17000</v>
      </c>
      <c r="D6" t="n">
        <v>17000</v>
      </c>
    </row>
    <row r="7">
      <c r="A7" t="inlineStr">
        <is>
          <t>Trips/Day</t>
        </is>
      </c>
      <c r="B7" s="4" t="n">
        <v>10</v>
      </c>
      <c r="C7" s="4" t="n">
        <v>15</v>
      </c>
      <c r="D7" s="4" t="n">
        <v>20</v>
      </c>
    </row>
    <row r="8">
      <c r="A8" t="inlineStr">
        <is>
          <t>Total Trips/Month</t>
        </is>
      </c>
      <c r="B8" t="n">
        <v>230</v>
      </c>
      <c r="C8" t="n">
        <v>345</v>
      </c>
      <c r="D8" t="n">
        <v>460</v>
      </c>
    </row>
    <row r="9">
      <c r="A9" t="inlineStr"/>
      <c r="B9" s="5" t="inlineStr"/>
      <c r="C9" s="5" t="inlineStr"/>
      <c r="D9" s="5" t="inlineStr"/>
    </row>
    <row r="10">
      <c r="A10" s="3">
        <f>== PENDAPATAN PLATFORM ===</f>
        <v/>
      </c>
      <c r="B10" t="inlineStr"/>
      <c r="C10" t="inlineStr"/>
      <c r="D10" t="inlineStr"/>
    </row>
    <row r="11">
      <c r="A11" t="inlineStr">
        <is>
          <t>Platform Revenue/Month</t>
        </is>
      </c>
      <c r="B11" s="4" t="n">
        <v>1650925</v>
      </c>
      <c r="C11" s="4" t="n">
        <v>1958925</v>
      </c>
      <c r="D11" s="4" t="n">
        <v>2362425</v>
      </c>
    </row>
    <row r="12">
      <c r="A12" t="inlineStr">
        <is>
          <t>Platform Profit/Month</t>
        </is>
      </c>
      <c r="B12" t="n">
        <v>1220925</v>
      </c>
      <c r="C12" t="n">
        <v>1528925</v>
      </c>
      <c r="D12" t="n">
        <v>1932425</v>
      </c>
    </row>
    <row r="13">
      <c r="A13" t="inlineStr">
        <is>
          <t>Margin %</t>
        </is>
      </c>
      <c r="B13" s="4" t="n">
        <v>0.74</v>
      </c>
      <c r="C13" s="4" t="n">
        <v>0.78</v>
      </c>
      <c r="D13" s="4" t="n">
        <v>0.82</v>
      </c>
    </row>
    <row r="14">
      <c r="A14" t="inlineStr"/>
      <c r="B14" s="5" t="inlineStr"/>
      <c r="C14" s="5" t="inlineStr"/>
      <c r="D14" s="5" t="inlineStr"/>
    </row>
    <row r="15">
      <c r="A15" s="3">
        <f>== DRIVER ECONOMICS ===</f>
        <v/>
      </c>
      <c r="B15" t="inlineStr"/>
      <c r="C15" t="inlineStr"/>
      <c r="D15" t="inlineStr"/>
    </row>
    <row r="16">
      <c r="A16" t="inlineStr">
        <is>
          <t>Driver Net Income/Month</t>
        </is>
      </c>
      <c r="B16" t="n">
        <v>2891500</v>
      </c>
      <c r="C16" t="n">
        <v>4060000</v>
      </c>
      <c r="D16" t="n">
        <v>5546500</v>
      </c>
    </row>
    <row r="17">
      <c r="A17" t="inlineStr">
        <is>
          <t>Daily Net</t>
        </is>
      </c>
      <c r="B17" s="9" t="n">
        <v>125717</v>
      </c>
      <c r="C17" s="9" t="n">
        <v>176522</v>
      </c>
      <c r="D17" s="9" t="n">
        <v>241152</v>
      </c>
    </row>
    <row r="18">
      <c r="A18" t="inlineStr">
        <is>
          <t>vs Gojek</t>
        </is>
      </c>
      <c r="B18" s="9" t="n">
        <v>0.143</v>
      </c>
      <c r="C18" s="9" t="n">
        <v>0.605</v>
      </c>
      <c r="D18" s="9" t="n">
        <v>1.192</v>
      </c>
    </row>
    <row r="19">
      <c r="A19" t="inlineStr"/>
      <c r="B19" s="5" t="inlineStr"/>
      <c r="C19" s="5" t="inlineStr"/>
      <c r="D19" s="5" t="inlineStr"/>
    </row>
    <row r="20">
      <c r="A20" s="3">
        <f>== YEAR 1 (100 BAJAJ) ===</f>
        <v/>
      </c>
      <c r="B20" s="10" t="inlineStr"/>
      <c r="C20" s="10" t="inlineStr"/>
      <c r="D20" s="10" t="inlineStr"/>
    </row>
    <row r="21">
      <c r="A21" t="inlineStr">
        <is>
          <t>Annual Revenue (Rp milyar)</t>
        </is>
      </c>
      <c r="B21" s="4" t="n">
        <v>1.98</v>
      </c>
      <c r="C21" s="4" t="n">
        <v>2.35</v>
      </c>
      <c r="D21" s="4" t="n">
        <v>2.83</v>
      </c>
    </row>
    <row r="22">
      <c r="A22" t="inlineStr">
        <is>
          <t>Annual Profit (Rp milyar)</t>
        </is>
      </c>
      <c r="B22" t="n">
        <v>1.47</v>
      </c>
      <c r="C22" t="n">
        <v>1.83</v>
      </c>
      <c r="D22" t="n">
        <v>2.32</v>
      </c>
    </row>
    <row r="23">
      <c r="A23" t="inlineStr">
        <is>
          <t>ROI %</t>
        </is>
      </c>
      <c r="B23" t="n">
        <v>0.147</v>
      </c>
      <c r="C23" t="n">
        <v>0.183</v>
      </c>
      <c r="D23" t="n">
        <v>0.232</v>
      </c>
    </row>
    <row r="24">
      <c r="A24" t="inlineStr">
        <is>
          <t>Payback (months)</t>
        </is>
      </c>
      <c r="B24" t="n">
        <v>82</v>
      </c>
      <c r="C24" t="n">
        <v>65</v>
      </c>
      <c r="D24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PROYEKSI SCALING (Realistic: Rp 17k, 15 trips/day)</t>
        </is>
      </c>
    </row>
    <row r="3">
      <c r="A3" s="11" t="inlineStr">
        <is>
          <t>Metrik</t>
        </is>
      </c>
      <c r="B3" s="11" t="inlineStr">
        <is>
          <t>100 Bajaj</t>
        </is>
      </c>
      <c r="C3" s="11" t="inlineStr">
        <is>
          <t>500 Bajaj</t>
        </is>
      </c>
      <c r="D3" s="11" t="inlineStr">
        <is>
          <t>1.000 Bajaj</t>
        </is>
      </c>
      <c r="E3" s="11" t="inlineStr">
        <is>
          <t>5.000 Bajaj</t>
        </is>
      </c>
    </row>
    <row r="4">
      <c r="A4" t="inlineStr"/>
      <c r="B4" t="inlineStr"/>
      <c r="C4" t="inlineStr"/>
      <c r="D4" t="inlineStr"/>
      <c r="E4" t="inlineStr"/>
    </row>
    <row r="5">
      <c r="A5" s="3">
        <f>== BULANAN ===</f>
        <v/>
      </c>
      <c r="B5" t="inlineStr"/>
      <c r="C5" t="inlineStr"/>
      <c r="D5" t="inlineStr"/>
      <c r="E5" t="inlineStr"/>
    </row>
    <row r="6">
      <c r="A6" t="inlineStr">
        <is>
          <t>Platform Revenue</t>
        </is>
      </c>
      <c r="B6" s="4" t="n">
        <v>195892500</v>
      </c>
      <c r="C6" s="4" t="n">
        <v>979462500</v>
      </c>
      <c r="D6" s="4" t="n">
        <v>1958925000</v>
      </c>
      <c r="E6" s="4" t="n">
        <v>9794625000</v>
      </c>
    </row>
    <row r="7">
      <c r="A7" t="inlineStr">
        <is>
          <t>Platform Profit</t>
        </is>
      </c>
      <c r="B7" s="4" t="n">
        <v>152892500</v>
      </c>
      <c r="C7" s="4" t="n">
        <v>764462500</v>
      </c>
      <c r="D7" s="4" t="n">
        <v>1528925000</v>
      </c>
      <c r="E7" s="4" t="n">
        <v>7644625000</v>
      </c>
    </row>
    <row r="8">
      <c r="A8" t="inlineStr">
        <is>
          <t>Margin %</t>
        </is>
      </c>
      <c r="B8" s="5" t="n">
        <v>0.78</v>
      </c>
      <c r="C8" s="5" t="n">
        <v>0.78</v>
      </c>
      <c r="D8" s="5" t="n">
        <v>0.78</v>
      </c>
      <c r="E8" s="5" t="n">
        <v>0.78</v>
      </c>
    </row>
    <row r="9">
      <c r="A9" t="inlineStr"/>
      <c r="B9" t="inlineStr"/>
      <c r="C9" t="inlineStr"/>
      <c r="D9" t="inlineStr"/>
      <c r="E9" t="inlineStr"/>
    </row>
    <row r="10">
      <c r="A10" s="3">
        <f>== TAHUNAN ===</f>
        <v/>
      </c>
      <c r="B10" t="inlineStr"/>
      <c r="C10" t="inlineStr"/>
      <c r="D10" t="inlineStr"/>
      <c r="E10" t="inlineStr"/>
    </row>
    <row r="11">
      <c r="A11" t="inlineStr">
        <is>
          <t>Annual Revenue (Rp milyar)</t>
        </is>
      </c>
      <c r="B11" s="9" t="n">
        <v>2.35</v>
      </c>
      <c r="C11" s="9" t="n">
        <v>11.75</v>
      </c>
      <c r="D11" s="9" t="n">
        <v>23.51</v>
      </c>
      <c r="E11" s="9" t="n">
        <v>117.54</v>
      </c>
    </row>
    <row r="12">
      <c r="A12" t="inlineStr">
        <is>
          <t>Annual Profit (Rp milyar)</t>
        </is>
      </c>
      <c r="B12" s="9" t="n">
        <v>1.83</v>
      </c>
      <c r="C12" s="9" t="n">
        <v>9.17</v>
      </c>
      <c r="D12" s="9" t="n">
        <v>18.35</v>
      </c>
      <c r="E12" s="9" t="n">
        <v>91.73999999999999</v>
      </c>
    </row>
    <row r="13">
      <c r="A13" t="inlineStr"/>
      <c r="B13" t="inlineStr"/>
      <c r="C13" t="inlineStr"/>
      <c r="D13" t="inlineStr"/>
      <c r="E13" t="inlineStr"/>
    </row>
    <row r="14">
      <c r="A14" s="3">
        <f>== INVESTASI ===</f>
        <v/>
      </c>
      <c r="B14" t="inlineStr"/>
      <c r="C14" t="inlineStr"/>
      <c r="D14" t="inlineStr"/>
      <c r="E14" t="inlineStr"/>
    </row>
    <row r="15">
      <c r="A15" t="inlineStr">
        <is>
          <t>Investment (Rp milyar)</t>
        </is>
      </c>
      <c r="B15" s="5" t="n">
        <v>10</v>
      </c>
      <c r="C15" s="5" t="n">
        <v>34</v>
      </c>
      <c r="D15" s="5" t="n">
        <v>64</v>
      </c>
      <c r="E15" s="5" t="n">
        <v>304</v>
      </c>
    </row>
    <row r="16">
      <c r="A16" t="inlineStr">
        <is>
          <t>Annual ROI %</t>
        </is>
      </c>
      <c r="B16" s="10" t="n">
        <v>0.183</v>
      </c>
      <c r="C16" s="10" t="n">
        <v>0.27</v>
      </c>
      <c r="D16" s="10" t="n">
        <v>0.287</v>
      </c>
      <c r="E16" s="10" t="n">
        <v>0.302</v>
      </c>
    </row>
    <row r="17">
      <c r="A17" t="inlineStr">
        <is>
          <t>Payback (months)</t>
        </is>
      </c>
      <c r="B17" t="n">
        <v>65</v>
      </c>
      <c r="C17" t="n">
        <v>45</v>
      </c>
      <c r="D17" t="n">
        <v>42</v>
      </c>
      <c r="E1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2026-05-05T03:42:22Z</dcterms:created>
  <dcterms:modified xsi:type="dcterms:W3CDTF">2026-05-05T03:42:22Z</dcterms:modified>
</cp:coreProperties>
</file>